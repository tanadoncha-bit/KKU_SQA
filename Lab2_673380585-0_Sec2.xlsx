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S002" sheetId="4" r:id="rId7"/>
    <sheet state="visible" name="Test Case Design &amp; Test Results" sheetId="5" r:id="rId8"/>
    <sheet state="visible" name="Requirements Tracability" sheetId="6" r:id="rId9"/>
    <sheet state="visible" name="Test Summary Report" sheetId="7" r:id="rId10"/>
  </sheets>
  <definedNames/>
  <calcPr/>
  <extLst>
    <ext uri="GoogleSheetsCustomDataVersion2">
      <go:sheetsCustomData xmlns:go="http://customooxmlschemas.google.com/" r:id="rId11" roundtripDataChecksum="wgtEpPdb9C2SUuuvZjoBa4P/ZvgSJR+YYsYmy562pfA="/>
    </ext>
  </extLst>
</workbook>
</file>

<file path=xl/sharedStrings.xml><?xml version="1.0" encoding="utf-8"?>
<sst xmlns="http://schemas.openxmlformats.org/spreadsheetml/2006/main" count="347" uniqueCount="243">
  <si>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</si>
  <si>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</si>
  <si>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</si>
  <si>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</si>
  <si>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</si>
  <si>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</si>
  <si>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</si>
  <si>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</si>
  <si>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</si>
  <si>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</si>
  <si>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</si>
  <si>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ซื้อตั๋วผ่านเคาน์เตอร์ (สมาชิก)</t>
  </si>
  <si>
    <t>UC002</t>
  </si>
  <si>
    <t>TS002</t>
  </si>
  <si>
    <t>ซื้อตั๋วผ่าน Self Service (ลูกค้าทั่วไป)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</si>
  <si>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</si>
  <si>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</si>
  <si>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</si>
  <si>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</si>
  <si>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</si>
  <si>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</si>
  <si>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</si>
  <si>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</si>
  <si>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</si>
  <si>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</si>
  <si>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</si>
  <si>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</si>
  <si>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</si>
  <si>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Test Scenario ID:</t>
  </si>
  <si>
    <t>UAT-Lab2-TS001</t>
  </si>
  <si>
    <t>Project ID:</t>
  </si>
  <si>
    <t>MOVIE_TICKET</t>
  </si>
  <si>
    <t>Test Scenario Name:</t>
  </si>
  <si>
    <t>Project version:</t>
  </si>
  <si>
    <t>V1.0</t>
  </si>
  <si>
    <t>Designer:</t>
  </si>
  <si>
    <t>ธนดล ไชยศิลา</t>
  </si>
  <si>
    <t>Test Version:</t>
  </si>
  <si>
    <t>Module:</t>
  </si>
  <si>
    <t>-</t>
  </si>
  <si>
    <t>Date:</t>
  </si>
  <si>
    <t>Pre-requisite:</t>
  </si>
  <si>
    <t>สมาชิกยังไม่หมดอายุ พนักงาน Login แล้ว และมีที่นั่งว่าง</t>
  </si>
  <si>
    <t xml:space="preserve">Description: </t>
  </si>
  <si>
    <t>ทดสอบการซื้อตั๋วผ่านพนักงานสำหรับสมาชิกและได้รับแต้มสะสม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</si>
  <si>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</si>
  <si>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</si>
  <si>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</si>
  <si>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</si>
  <si>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</si>
  <si>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</si>
  <si>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</si>
  <si>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</si>
  <si>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</si>
  <si>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ลูกค้าแสดงบัตรสมาชิก</t>
  </si>
  <si>
    <t>Member ID</t>
  </si>
  <si>
    <t>สมาชิกยังไม่หมดอายุ</t>
  </si>
  <si>
    <t>ระบบตรวจสอบสมาชิก</t>
  </si>
  <si>
    <t>เลือกภาพยนตร์</t>
  </si>
  <si>
    <t>ชื่อเรื่อง</t>
  </si>
  <si>
    <t>มีข้อมูล</t>
  </si>
  <si>
    <t>แสดงรอบฉาย</t>
  </si>
  <si>
    <t>เลือกรอบฉาย</t>
  </si>
  <si>
    <t>รอบฉาย</t>
  </si>
  <si>
    <t>เปิดขาย</t>
  </si>
  <si>
    <t>แสดงที่นั่ง</t>
  </si>
  <si>
    <t>เลือกที่นั่ง</t>
  </si>
  <si>
    <t>เลขที่นั่ง</t>
  </si>
  <si>
    <t>มีที่ว่าง</t>
  </si>
  <si>
    <t>บันทึกที่นั่ง</t>
  </si>
  <si>
    <t>ชำระเงิน</t>
  </si>
  <si>
    <t>จำนวนเงิน</t>
  </si>
  <si>
    <t>ชำระสำเร็จ</t>
  </si>
  <si>
    <t>รับชำระเงิน</t>
  </si>
  <si>
    <t>ระบบสร้างเลขจอง</t>
  </si>
  <si>
    <t>ระบบบันทึกเลขจอง</t>
  </si>
  <si>
    <t>เพิ่มแต้มสะสม</t>
  </si>
  <si>
    <t>จำนวนตั๋ว</t>
  </si>
  <si>
    <t>สมาชิกปกติ</t>
  </si>
  <si>
    <t>เพิ่ม 1 แต้มต่อ 1 ใบ</t>
  </si>
  <si>
    <t>พนักงานพิมพ์ตั๋ว</t>
  </si>
  <si>
    <t>สร้างเลขจองแล้ว</t>
  </si>
  <si>
    <t>ได้รับตั๋วพร้อม Barcode</t>
  </si>
  <si>
    <t>Alternate flows:</t>
  </si>
  <si>
    <t>Test Data</t>
  </si>
  <si>
    <t>No.</t>
  </si>
  <si>
    <t>Items</t>
  </si>
  <si>
    <t>Example</t>
  </si>
  <si>
    <t>รหัสสมาชิกที่ยังใช้งานได้</t>
  </si>
  <si>
    <t>MEM100245</t>
  </si>
  <si>
    <t>ชื่อสมาชิก</t>
  </si>
  <si>
    <t>ข้อมูลสมาชิกที่ใช้ตรวจสอบ</t>
  </si>
  <si>
    <t>สถานะสมาชิก</t>
  </si>
  <si>
    <t>สมาชิกต้องอยู่ในสถานะ Active และยังไม่หมดอายุ</t>
  </si>
  <si>
    <t>Active</t>
  </si>
  <si>
    <t>ภาพยนตร์</t>
  </si>
  <si>
    <t>ภาพยนตร์ที่กำลังเปิดให้จอง</t>
  </si>
  <si>
    <t>How to Train Your Dragon</t>
  </si>
  <si>
    <t xml:space="preserve"> </t>
  </si>
  <si>
    <t>รอบฉายที่เปิดขาย</t>
  </si>
  <si>
    <t>30/06/2026 เวลา 19:00 น.</t>
  </si>
  <si>
    <t>โรงภาพยนตร์</t>
  </si>
  <si>
    <t>โรงที่ฉายภาพยนตร์</t>
  </si>
  <si>
    <t>Theatre 3</t>
  </si>
  <si>
    <t>ที่นั่ง</t>
  </si>
  <si>
    <t>ที่นั่งที่ยังว่าง</t>
  </si>
  <si>
    <t>E10</t>
  </si>
  <si>
    <t>ราคาตั๋ว</t>
  </si>
  <si>
    <t>ราคาที่ต้องชำระ</t>
  </si>
  <si>
    <t>160 บาท</t>
  </si>
  <si>
    <t>วิธีชำระเงิน</t>
  </si>
  <si>
    <t>ช่องทางการชำระเงิน</t>
  </si>
  <si>
    <t>เงินสด</t>
  </si>
  <si>
    <t>จำนวนเงินที่รับ</t>
  </si>
  <si>
    <t>จำนวนเงินที่ลูกค้าชำระ</t>
  </si>
  <si>
    <t>200 บาท</t>
  </si>
  <si>
    <t>เงินทอน</t>
  </si>
  <si>
    <t>เงินที่ระบบคำนวณ</t>
  </si>
  <si>
    <t>40 บาท</t>
  </si>
  <si>
    <t>Booking Number</t>
  </si>
  <si>
    <t>เลขที่การจองที่ระบบสร้าง</t>
  </si>
  <si>
    <t>BK202606300001</t>
  </si>
  <si>
    <t>Barcode</t>
  </si>
  <si>
    <t>Barcode สำหรับตั๋วภาพยนตร์</t>
  </si>
  <si>
    <t>BC240630000001</t>
  </si>
  <si>
    <t>จำนวนตั๋วที่ซื้อ</t>
  </si>
  <si>
    <t>1 ใบ</t>
  </si>
  <si>
    <t>แต้มสะสมก่อนซื้อ</t>
  </si>
  <si>
    <t>แต้มสมาชิกก่อนทำรายการ</t>
  </si>
  <si>
    <t>15 คะแนน</t>
  </si>
  <si>
    <t>เครื่อง Self Service พร้อมใช้งาน ระบบเชื่อมต่อฐานข้อมูลได้ และมีที่นั่งว่าง</t>
  </si>
  <si>
    <t>ทดสอบการซื้อตั๋วผ่านเครื่องบริการตนเอง</t>
  </si>
  <si>
    <t>ลูกค้าแจ้งภาพยนตร์</t>
  </si>
  <si>
    <t>มีภาพยนตร์</t>
  </si>
  <si>
    <t>ระบบแสดงรอบฉาย</t>
  </si>
  <si>
    <t>ลูกค้าเลือกรอบ</t>
  </si>
  <si>
    <t>รอบเปิดขาย</t>
  </si>
  <si>
    <t>ระบบแสดงที่นั่ง</t>
  </si>
  <si>
    <t>ลูกค้าเลือกที่นั่ง</t>
  </si>
  <si>
    <t>ที่นั่งว่าง</t>
  </si>
  <si>
    <t>ระบบบันทึกที่นั่ง</t>
  </si>
  <si>
    <t>ลูกค้าชำระเงิน</t>
  </si>
  <si>
    <t>เงินครบ</t>
  </si>
  <si>
    <t>ระบบรับชำระเงิน</t>
  </si>
  <si>
    <t>พิมพ์ตั๋ว</t>
  </si>
  <si>
    <t>Avengers End Game</t>
  </si>
  <si>
    <t>Theatre 5</t>
  </si>
  <si>
    <t>E12</t>
  </si>
  <si>
    <t>บัตรเครดิต</t>
  </si>
  <si>
    <t>จำนวนเงินที่ชำระ</t>
  </si>
  <si>
    <t>จำนวนเงินที่ชำระผ่านเครื่อง Self Service</t>
  </si>
  <si>
    <t>BK202606300002</t>
  </si>
  <si>
    <t>BC240630000002</t>
  </si>
  <si>
    <t>Test Case Design and Test Results</t>
  </si>
  <si>
    <t xml:space="preserve">Project Name: </t>
  </si>
  <si>
    <t>Movie Ticket Booking System</t>
  </si>
  <si>
    <t xml:space="preserve">Project ID: </t>
  </si>
  <si>
    <t xml:space="preserve">Test Strategy: </t>
  </si>
  <si>
    <t xml:space="preserve">Designer: </t>
  </si>
  <si>
    <t xml:space="preserve">Test Environtment: </t>
  </si>
  <si>
    <t>Test Description</t>
  </si>
  <si>
    <t>Test Case ID</t>
  </si>
  <si>
    <t>Expected Result</t>
  </si>
  <si>
    <t>Actual Result</t>
  </si>
  <si>
    <t>Status (Pass/Fail/No run)</t>
  </si>
  <si>
    <t>สมาชิกแสดงบัตรสมาชิกให้พนักงานเพื่อตรวจสอบ จากนั้นเลือกภาพยนตร์ รอบฉาย และที่นั่ง ชำระเงินผ่านเคาน์เตอร์โดยไม่ใช้แต้มสะสมเพื่อแลกตั๋วฟรี แล้วระบบสร้างเลขที่การจอง พิมพ์ตั๋วพร้อม Barcode และเพิ่มคะแนนสะสมให้สมาชิกสำเร็จ</t>
  </si>
  <si>
    <t>TC01 (Positive)</t>
  </si>
  <si>
    <t>Member ID = MEM100245, Movie = How to Train Your Dragon , Showtime = 30/06/2026 19:00 ,Seat = E10, Payment = 200 บาท</t>
  </si>
  <si>
    <t>ระบบขายตั๋วสำเร็จ สร้าง Booking Number  และเพิ่มแต้มสะสม</t>
  </si>
  <si>
    <t>TC02 (Negative)</t>
  </si>
  <si>
    <t>Member ID = MEM999999 (ใส่เลขผิด)</t>
  </si>
  <si>
    <t>ระบบแจ้งว่าไม่พบข้อมูลสมาชิก</t>
  </si>
  <si>
    <t>TC03 (Negative)</t>
  </si>
  <si>
    <t>Movie = ไม่มีในระบบ</t>
  </si>
  <si>
    <t>ระบบแจ้งว่าไม่พบภาพยนตร์</t>
  </si>
  <si>
    <t>TC04 (Negative)</t>
  </si>
  <si>
    <t>Seat = E10 (ถูกจองแล้ว)</t>
  </si>
  <si>
    <t>ระบบแจ้งว่าที่นั่งไม่ว่าง</t>
  </si>
  <si>
    <t>TC05 (Negative)</t>
  </si>
  <si>
    <t>Showtime = รอบที่ปิดขาย</t>
  </si>
  <si>
    <t>ระบบแจ้งว่าไม่สามารถเลือกได้</t>
  </si>
  <si>
    <t>TC06 (Positive)</t>
  </si>
  <si>
    <t>Booking Number = BK202606300001</t>
  </si>
  <si>
    <t>ระบบพิมพ์ตั๋วพร้อม Booking Number และ Barcode ได้ถูกต้อง</t>
  </si>
  <si>
    <t>ลูกค้าทั่วไปซื้อตั๋วแบบ Self Service โดยเลือกภาพยนตร์ รอบฉาย และที่นั่ง ชำระเงินสำเร็จ ระบบสร้างเลขที่การจองและพิมพ์ตั๋วพร้อม Barcode</t>
  </si>
  <si>
    <t>Movie = Avengers End Game , Showtime = 30/06/2026 19:00, Seat = E12 , Payment = 160 บาท</t>
  </si>
  <si>
    <t xml:space="preserve">ระบบขายตั๋วสำเร็จ และสร้าง Booking Number </t>
  </si>
  <si>
    <t>Seat = E12 (ถูกจองแล้ว)</t>
  </si>
  <si>
    <t>TC05 (Positive)</t>
  </si>
  <si>
    <t>Booking Number = BK202606300002</t>
  </si>
  <si>
    <t>Use Case/Requirement</t>
  </si>
  <si>
    <t>Test Scenario ID</t>
  </si>
  <si>
    <t>Design Components</t>
  </si>
  <si>
    <t>Roman Numerals Converter</t>
  </si>
  <si>
    <t xml:space="preserve">Class: RomanNumbersConverter 
File/Path: RomanNumbersConverter.java </t>
  </si>
  <si>
    <t xml:space="preserve">Method: asArabic(String romanNum)
File/Path: RomanNumbersConverter.java </t>
  </si>
  <si>
    <t>Report Date (dd-mm-yy):</t>
  </si>
  <si>
    <t>Version:</t>
  </si>
  <si>
    <t>Test Information</t>
  </si>
  <si>
    <t>Summary</t>
  </si>
  <si>
    <t>Project Name:</t>
  </si>
  <si>
    <t>Start Date (dd-mm-yy):</t>
  </si>
  <si>
    <t>End Date: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</si>
  <si>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</si>
  <si>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</si>
  <si>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</si>
  <si>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</si>
  <si>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</si>
  <si>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</si>
  <si>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</si>
  <si>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</si>
  <si>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</si>
  <si>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</si>
  <si>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</si>
  <si>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</si>
  <si>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</si>
  <si>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</si>
  <si>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Meaning</t>
  </si>
  <si>
    <t>Severity Levels</t>
  </si>
  <si>
    <t>Severity Level</t>
  </si>
  <si>
    <t>Impact</t>
  </si>
  <si>
    <t xml:space="preserve">Low (1) </t>
  </si>
  <si>
    <t>Low</t>
  </si>
  <si>
    <t>UI and presentation issues</t>
  </si>
  <si>
    <t xml:space="preserve">Medium (2) </t>
  </si>
  <si>
    <t>Medium</t>
  </si>
  <si>
    <t>A feature is malfunction.</t>
  </si>
  <si>
    <t xml:space="preserve">High (3) </t>
  </si>
  <si>
    <t>High</t>
  </si>
  <si>
    <t>Unexpected behaviour/results, software crash, data corruption</t>
  </si>
  <si>
    <t xml:space="preserve">Critical (4) </t>
  </si>
  <si>
    <t>Critical</t>
  </si>
  <si>
    <t>The function/software can not be run.</t>
  </si>
  <si>
    <t xml:space="preserve">Note: </t>
  </si>
  <si>
    <t>Effort Summary</t>
  </si>
  <si>
    <t xml:space="preserve">Designing the Test: </t>
  </si>
  <si>
    <t>Person-hours</t>
  </si>
  <si>
    <t xml:space="preserve">Test Setup: </t>
  </si>
  <si>
    <t xml:space="preserve">Test Execution: </t>
  </si>
  <si>
    <t xml:space="preserve">Test Analysis and Report: </t>
  </si>
  <si>
    <t xml:space="preserve">Total Test Efforts: </t>
  </si>
  <si>
    <t xml:space="preserve">Average Time Spend: </t>
  </si>
  <si>
    <t>Hours/defect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</si>
</sst>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>
      <u/>
      <sz val="11.0"/>
      <color rgb="FF0000FF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1.0"/>
      <color theme="1"/>
      <name val="Calibri"/>
    </font>
    <font>
      <sz val="18.0"/>
      <color theme="1"/>
      <name val="Calibri"/>
      <scheme val="minor"/>
    </font>
    <font>
      <sz val="16.0"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1" fillId="0" fontId="4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1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left" vertical="top"/>
    </xf>
    <xf borderId="1" fillId="0" fontId="7" numFmtId="14" xfId="0" applyAlignment="1" applyBorder="1" applyFont="1" applyNumberFormat="1">
      <alignment horizontal="left" vertical="top"/>
    </xf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9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vertical="center"/>
    </xf>
    <xf borderId="2" fillId="7" fontId="8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0" xfId="0" applyBorder="1" applyFont="1"/>
    <xf borderId="1" fillId="0" fontId="9" numFmtId="0" xfId="0" applyAlignment="1" applyBorder="1" applyFont="1">
      <alignment horizontal="center"/>
    </xf>
    <xf borderId="1" fillId="0" fontId="10" numFmtId="0" xfId="0" applyBorder="1" applyFont="1"/>
    <xf borderId="5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" fillId="0" fontId="8" numFmtId="0" xfId="0" applyBorder="1" applyFont="1"/>
    <xf borderId="2" fillId="0" fontId="9" numFmtId="0" xfId="0" applyAlignment="1" applyBorder="1" applyFont="1">
      <alignment horizontal="center"/>
    </xf>
    <xf borderId="0" fillId="0" fontId="9" numFmtId="0" xfId="0" applyFont="1"/>
    <xf borderId="2" fillId="8" fontId="8" numFmtId="0" xfId="0" applyAlignment="1" applyBorder="1" applyFill="1" applyFont="1">
      <alignment horizontal="left"/>
    </xf>
    <xf borderId="0" fillId="0" fontId="8" numFmtId="0" xfId="0" applyAlignment="1" applyFont="1">
      <alignment horizontal="left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wrapText="1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0" fontId="12" numFmtId="0" xfId="0" applyAlignment="1" applyBorder="1" applyFont="1">
      <alignment horizontal="center" shrinkToFit="0" vertical="top" wrapText="1"/>
    </xf>
    <xf borderId="5" fillId="0" fontId="12" numFmtId="0" xfId="0" applyAlignment="1" applyBorder="1" applyFont="1">
      <alignment horizontal="left" readingOrder="0" shrinkToFit="0" vertical="top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5" fillId="0" fontId="12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0" fillId="0" fontId="7" numFmtId="0" xfId="0" applyFont="1"/>
    <xf borderId="1" fillId="9" fontId="6" numFmtId="0" xfId="0" applyAlignment="1" applyBorder="1" applyFill="1" applyFont="1">
      <alignment horizontal="center"/>
    </xf>
    <xf borderId="5" fillId="0" fontId="7" numFmtId="0" xfId="0" applyAlignment="1" applyBorder="1" applyFont="1">
      <alignment horizontal="left" shrinkToFit="0" vertical="center" wrapText="1"/>
    </xf>
    <xf borderId="1" fillId="0" fontId="7" numFmtId="0" xfId="0" applyBorder="1" applyFont="1"/>
    <xf borderId="1" fillId="0" fontId="7" numFmtId="0" xfId="0" applyAlignment="1" applyBorder="1" applyFont="1">
      <alignment shrinkToFit="0" wrapText="1"/>
    </xf>
    <xf borderId="2" fillId="10" fontId="2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left"/>
    </xf>
    <xf borderId="8" fillId="0" fontId="5" numFmtId="0" xfId="0" applyBorder="1" applyFont="1"/>
    <xf borderId="8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2" fillId="11" fontId="2" numFmtId="0" xfId="0" applyAlignment="1" applyBorder="1" applyFill="1" applyFont="1">
      <alignment horizontal="left"/>
    </xf>
    <xf borderId="2" fillId="11" fontId="2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9" fillId="0" fontId="1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9" fillId="0" fontId="1" numFmtId="0" xfId="0" applyAlignment="1" applyBorder="1" applyFont="1">
      <alignment horizontal="left" vertical="top"/>
    </xf>
    <xf borderId="14" fillId="0" fontId="5" numFmtId="0" xfId="0" applyBorder="1" applyFont="1"/>
    <xf borderId="15" fillId="0" fontId="5" numFmtId="0" xfId="0" applyBorder="1" applyFont="1"/>
    <xf borderId="2" fillId="0" fontId="2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16" fillId="0" fontId="5" numFmtId="0" xfId="0" applyBorder="1" applyFont="1"/>
    <xf borderId="17" fillId="11" fontId="2" numFmtId="0" xfId="0" applyBorder="1" applyFont="1"/>
    <xf borderId="2" fillId="0" fontId="2" numFmtId="0" xfId="0" applyAlignment="1" applyBorder="1" applyFont="1">
      <alignment horizontal="right"/>
    </xf>
    <xf borderId="2" fillId="11" fontId="2" numFmtId="0" xfId="0" applyAlignment="1" applyBorder="1" applyFont="1">
      <alignment horizontal="right"/>
    </xf>
    <xf borderId="1" fillId="11" fontId="1" numFmtId="0" xfId="0" applyBorder="1" applyFont="1"/>
    <xf borderId="2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2" fillId="11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No. of Test Cases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Report'!$A$16:$A$19</c:f>
            </c:strRef>
          </c:cat>
          <c:val>
            <c:numRef>
              <c:f>'Test Summary Report'!$F$16:$F$19</c:f>
              <c:numCache/>
            </c:numRef>
          </c:val>
        </c:ser>
        <c:axId val="2034933505"/>
        <c:axId val="2047442631"/>
      </c:barChart>
      <c:catAx>
        <c:axId val="2034933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2047442631"/>
      </c:catAx>
      <c:valAx>
        <c:axId val="2047442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93350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No. Defect by Severity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Severity Levels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Report'!$A$25:$A$28</c:f>
            </c:strRef>
          </c:cat>
          <c:val>
            <c:numRef>
              <c:f>'Test Summary Report'!$F$25:$F$28</c:f>
              <c:numCache/>
            </c:numRef>
          </c:val>
        </c:ser>
        <c:axId val="1924547414"/>
        <c:axId val="78299734"/>
      </c:barChart>
      <c:catAx>
        <c:axId val="1924547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78299734"/>
      </c:catAx>
      <c:valAx>
        <c:axId val="782997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547414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600075</xdr:colOff>
      <xdr:row>5</xdr:row>
      <xdr:rowOff>9525</xdr:rowOff>
    </xdr:from>
    <xdr:ext cx="4572000" cy="2743200"/>
    <xdr:graphicFrame>
      <xdr:nvGraphicFramePr>
        <xdr:cNvPr id="212925540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314325</xdr:colOff>
      <xdr:row>5</xdr:row>
      <xdr:rowOff>9525</xdr:rowOff>
    </xdr:from>
    <xdr:ext cx="4572000" cy="2743200"/>
    <xdr:graphicFrame>
      <xdr:nvGraphicFramePr>
        <xdr:cNvPr id="143330450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9.0"/>
    <col customWidth="1" min="3" max="3" width="58.14"/>
    <col customWidth="1" min="4" max="4" width="25.57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1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6">
        <v>6.0</v>
      </c>
      <c r="E3" s="5"/>
      <c r="F3" s="5"/>
      <c r="G3" s="5"/>
      <c r="H3" s="5"/>
      <c r="I3" s="7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6" t="s">
        <v>12</v>
      </c>
      <c r="B4" s="6" t="s">
        <v>13</v>
      </c>
      <c r="C4" s="6" t="s">
        <v>14</v>
      </c>
      <c r="D4" s="6">
        <v>5.0</v>
      </c>
      <c r="E4" s="8"/>
      <c r="F4" s="8"/>
      <c r="G4" s="8"/>
      <c r="H4" s="8"/>
      <c r="I4" s="9" t="s">
        <v>13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8"/>
      <c r="B5" s="8"/>
      <c r="C5" s="8"/>
      <c r="D5" s="5"/>
      <c r="E5" s="8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8"/>
      <c r="B6" s="8"/>
      <c r="C6" s="8"/>
      <c r="D6" s="5"/>
      <c r="E6" s="8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8"/>
      <c r="B7" s="8"/>
      <c r="C7" s="8"/>
      <c r="D7" s="5"/>
      <c r="E7" s="8"/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15</v>
      </c>
      <c r="B8" s="11"/>
      <c r="C8" s="12"/>
      <c r="D8" s="5"/>
      <c r="E8" s="13"/>
      <c r="F8" s="14"/>
      <c r="G8" s="8"/>
      <c r="H8" s="8"/>
      <c r="I8" s="7" t="s">
        <v>16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S002" location="'TS002'!A1" ref="I4"/>
    <hyperlink display="Test Summary Report" location="'Test Summary Report'!A1" ref="I8"/>
  </hyperlink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5" t="s">
        <v>17</v>
      </c>
      <c r="B2" s="15" t="s">
        <v>18</v>
      </c>
      <c r="C2" s="15" t="s">
        <v>19</v>
      </c>
      <c r="D2" s="16" t="s">
        <v>20</v>
      </c>
      <c r="E2" s="15" t="s">
        <v>21</v>
      </c>
      <c r="F2" s="15" t="s">
        <v>22</v>
      </c>
      <c r="G2" s="15" t="s">
        <v>23</v>
      </c>
      <c r="H2" s="15" t="s">
        <v>24</v>
      </c>
      <c r="I2" s="15" t="s">
        <v>25</v>
      </c>
      <c r="J2" s="15" t="s">
        <v>26</v>
      </c>
      <c r="K2" s="15" t="s">
        <v>27</v>
      </c>
    </row>
    <row r="3">
      <c r="A3" s="17">
        <v>1.0</v>
      </c>
      <c r="B3" s="17"/>
      <c r="C3" s="17"/>
      <c r="D3" s="18"/>
      <c r="E3" s="17"/>
      <c r="F3" s="17"/>
      <c r="G3" s="17"/>
      <c r="H3" s="17"/>
      <c r="I3" s="17"/>
      <c r="J3" s="17"/>
      <c r="K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45.43"/>
    <col customWidth="1" min="3" max="3" width="60.14"/>
    <col customWidth="1" min="4" max="4" width="40.71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19" t="s">
        <v>28</v>
      </c>
      <c r="B1" s="20" t="s">
        <v>29</v>
      </c>
      <c r="C1" s="19" t="s">
        <v>30</v>
      </c>
      <c r="D1" s="21" t="s">
        <v>31</v>
      </c>
      <c r="E1" s="12"/>
      <c r="G1" s="22"/>
      <c r="H1" s="22"/>
    </row>
    <row r="2">
      <c r="A2" s="19" t="s">
        <v>32</v>
      </c>
      <c r="B2" s="23" t="s">
        <v>11</v>
      </c>
      <c r="C2" s="19" t="s">
        <v>33</v>
      </c>
      <c r="D2" s="21" t="s">
        <v>34</v>
      </c>
      <c r="E2" s="12"/>
    </row>
    <row r="3">
      <c r="A3" s="19" t="s">
        <v>35</v>
      </c>
      <c r="B3" s="23" t="s">
        <v>36</v>
      </c>
      <c r="C3" s="19" t="s">
        <v>37</v>
      </c>
      <c r="D3" s="24" t="s">
        <v>34</v>
      </c>
      <c r="E3" s="12"/>
    </row>
    <row r="4">
      <c r="A4" s="19" t="s">
        <v>38</v>
      </c>
      <c r="B4" s="25" t="s">
        <v>39</v>
      </c>
      <c r="C4" s="26" t="s">
        <v>40</v>
      </c>
      <c r="D4" s="27" t="s">
        <v>39</v>
      </c>
      <c r="E4" s="12"/>
    </row>
    <row r="5">
      <c r="A5" s="19" t="s">
        <v>41</v>
      </c>
      <c r="B5" s="27" t="s">
        <v>42</v>
      </c>
      <c r="C5" s="11"/>
      <c r="D5" s="11"/>
      <c r="E5" s="12"/>
    </row>
    <row r="6">
      <c r="A6" s="26" t="s">
        <v>43</v>
      </c>
      <c r="B6" s="28" t="s">
        <v>44</v>
      </c>
      <c r="C6" s="11"/>
      <c r="D6" s="11"/>
      <c r="E6" s="12"/>
    </row>
    <row r="7">
      <c r="A7" s="29" t="s">
        <v>45</v>
      </c>
      <c r="B7" s="11"/>
      <c r="C7" s="11"/>
      <c r="D7" s="11"/>
      <c r="E7" s="12"/>
    </row>
    <row r="8">
      <c r="A8" s="30" t="s">
        <v>46</v>
      </c>
      <c r="B8" s="30" t="s">
        <v>47</v>
      </c>
      <c r="C8" s="30" t="s">
        <v>48</v>
      </c>
      <c r="D8" s="30" t="s">
        <v>49</v>
      </c>
      <c r="E8" s="30" t="s">
        <v>50</v>
      </c>
      <c r="F8" s="31" t="s">
        <v>51</v>
      </c>
      <c r="G8" s="31" t="s">
        <v>52</v>
      </c>
      <c r="H8" s="31" t="s">
        <v>53</v>
      </c>
    </row>
    <row r="9">
      <c r="A9" s="32">
        <v>1.0</v>
      </c>
      <c r="B9" s="33" t="s">
        <v>54</v>
      </c>
      <c r="C9" s="33" t="s">
        <v>55</v>
      </c>
      <c r="D9" s="33" t="s">
        <v>56</v>
      </c>
      <c r="E9" s="33" t="s">
        <v>57</v>
      </c>
      <c r="F9" s="34"/>
      <c r="G9" s="34"/>
      <c r="H9" s="34"/>
    </row>
    <row r="10">
      <c r="A10" s="32">
        <v>2.0</v>
      </c>
      <c r="B10" s="33" t="s">
        <v>58</v>
      </c>
      <c r="C10" s="33" t="s">
        <v>59</v>
      </c>
      <c r="D10" s="33" t="s">
        <v>60</v>
      </c>
      <c r="E10" s="33" t="s">
        <v>61</v>
      </c>
      <c r="F10" s="34"/>
      <c r="G10" s="34"/>
      <c r="H10" s="34"/>
    </row>
    <row r="11">
      <c r="A11" s="32">
        <v>3.0</v>
      </c>
      <c r="B11" s="33" t="s">
        <v>62</v>
      </c>
      <c r="C11" s="33" t="s">
        <v>63</v>
      </c>
      <c r="D11" s="33" t="s">
        <v>64</v>
      </c>
      <c r="E11" s="33" t="s">
        <v>65</v>
      </c>
      <c r="F11" s="34"/>
      <c r="G11" s="34"/>
      <c r="H11" s="34"/>
    </row>
    <row r="12">
      <c r="A12" s="35">
        <v>4.0</v>
      </c>
      <c r="B12" s="33" t="s">
        <v>66</v>
      </c>
      <c r="C12" s="33" t="s">
        <v>67</v>
      </c>
      <c r="D12" s="33" t="s">
        <v>68</v>
      </c>
      <c r="E12" s="33" t="s">
        <v>69</v>
      </c>
      <c r="F12" s="34"/>
      <c r="G12" s="34"/>
      <c r="H12" s="34"/>
    </row>
    <row r="13">
      <c r="A13" s="32">
        <v>5.0</v>
      </c>
      <c r="B13" s="33" t="s">
        <v>70</v>
      </c>
      <c r="C13" s="33" t="s">
        <v>71</v>
      </c>
      <c r="D13" s="33" t="s">
        <v>72</v>
      </c>
      <c r="E13" s="33" t="s">
        <v>73</v>
      </c>
      <c r="F13" s="34"/>
      <c r="G13" s="34"/>
      <c r="H13" s="34"/>
    </row>
    <row r="14">
      <c r="A14" s="35">
        <v>6.0</v>
      </c>
      <c r="B14" s="34" t="s">
        <v>74</v>
      </c>
      <c r="C14" s="36"/>
      <c r="D14" s="36"/>
      <c r="E14" s="34" t="s">
        <v>75</v>
      </c>
      <c r="F14" s="34"/>
      <c r="G14" s="34"/>
      <c r="H14" s="34"/>
    </row>
    <row r="15">
      <c r="A15" s="32">
        <v>7.0</v>
      </c>
      <c r="B15" s="33" t="s">
        <v>76</v>
      </c>
      <c r="C15" s="33" t="s">
        <v>77</v>
      </c>
      <c r="D15" s="33" t="s">
        <v>78</v>
      </c>
      <c r="E15" s="33" t="s">
        <v>79</v>
      </c>
      <c r="F15" s="34"/>
      <c r="G15" s="34"/>
      <c r="H15" s="34"/>
    </row>
    <row r="16">
      <c r="A16" s="32">
        <v>8.0</v>
      </c>
      <c r="B16" s="33" t="s">
        <v>80</v>
      </c>
      <c r="C16" s="37"/>
      <c r="D16" s="38" t="s">
        <v>81</v>
      </c>
      <c r="E16" s="38" t="s">
        <v>82</v>
      </c>
      <c r="F16" s="34"/>
      <c r="G16" s="34"/>
      <c r="H16" s="34"/>
    </row>
    <row r="17">
      <c r="A17" s="39" t="s">
        <v>83</v>
      </c>
      <c r="B17" s="40"/>
      <c r="C17" s="11"/>
      <c r="D17" s="11"/>
      <c r="E17" s="12"/>
    </row>
    <row r="18">
      <c r="A18" s="41"/>
      <c r="B18" s="41"/>
      <c r="C18" s="41"/>
      <c r="D18" s="41"/>
      <c r="E18" s="41"/>
    </row>
    <row r="19">
      <c r="A19" s="42" t="s">
        <v>84</v>
      </c>
      <c r="B19" s="11"/>
      <c r="C19" s="11"/>
      <c r="D19" s="12"/>
      <c r="E19" s="4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4" t="s">
        <v>85</v>
      </c>
      <c r="B20" s="44" t="s">
        <v>86</v>
      </c>
      <c r="C20" s="44" t="s">
        <v>47</v>
      </c>
      <c r="D20" s="44" t="s">
        <v>87</v>
      </c>
      <c r="E20" s="45"/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6">
        <v>1.0</v>
      </c>
      <c r="B21" s="46" t="s">
        <v>55</v>
      </c>
      <c r="C21" s="46" t="s">
        <v>88</v>
      </c>
      <c r="D21" s="46" t="s">
        <v>89</v>
      </c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6">
        <v>2.0</v>
      </c>
      <c r="B22" s="46" t="s">
        <v>90</v>
      </c>
      <c r="C22" s="46" t="s">
        <v>91</v>
      </c>
      <c r="D22" s="46" t="s">
        <v>36</v>
      </c>
      <c r="E22" s="4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6">
        <v>3.0</v>
      </c>
      <c r="B23" s="46" t="s">
        <v>92</v>
      </c>
      <c r="C23" s="46" t="s">
        <v>93</v>
      </c>
      <c r="D23" s="46" t="s">
        <v>94</v>
      </c>
      <c r="E23" s="4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6">
        <v>4.0</v>
      </c>
      <c r="B24" s="46" t="s">
        <v>95</v>
      </c>
      <c r="C24" s="46" t="s">
        <v>96</v>
      </c>
      <c r="D24" s="46" t="s">
        <v>97</v>
      </c>
      <c r="E24" s="41"/>
      <c r="F24" s="1" t="s">
        <v>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6">
        <v>5.0</v>
      </c>
      <c r="B25" s="46" t="s">
        <v>63</v>
      </c>
      <c r="C25" s="46" t="s">
        <v>99</v>
      </c>
      <c r="D25" s="46" t="s">
        <v>100</v>
      </c>
      <c r="E25" s="4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6">
        <v>6.0</v>
      </c>
      <c r="B26" s="46" t="s">
        <v>101</v>
      </c>
      <c r="C26" s="46" t="s">
        <v>102</v>
      </c>
      <c r="D26" s="46" t="s">
        <v>103</v>
      </c>
      <c r="E26" s="4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6">
        <v>7.0</v>
      </c>
      <c r="B27" s="46" t="s">
        <v>104</v>
      </c>
      <c r="C27" s="46" t="s">
        <v>105</v>
      </c>
      <c r="D27" s="46" t="s">
        <v>106</v>
      </c>
      <c r="E27" s="4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6">
        <v>8.0</v>
      </c>
      <c r="B28" s="46" t="s">
        <v>107</v>
      </c>
      <c r="C28" s="46" t="s">
        <v>108</v>
      </c>
      <c r="D28" s="46" t="s">
        <v>109</v>
      </c>
    </row>
    <row r="29" ht="15.75" customHeight="1">
      <c r="A29" s="46">
        <v>9.0</v>
      </c>
      <c r="B29" s="46" t="s">
        <v>110</v>
      </c>
      <c r="C29" s="46" t="s">
        <v>111</v>
      </c>
      <c r="D29" s="46" t="s">
        <v>112</v>
      </c>
    </row>
    <row r="30" ht="15.75" customHeight="1">
      <c r="A30" s="46">
        <v>10.0</v>
      </c>
      <c r="B30" s="46" t="s">
        <v>113</v>
      </c>
      <c r="C30" s="46" t="s">
        <v>114</v>
      </c>
      <c r="D30" s="46" t="s">
        <v>115</v>
      </c>
    </row>
    <row r="31" ht="15.75" customHeight="1">
      <c r="A31" s="46">
        <v>11.0</v>
      </c>
      <c r="B31" s="46" t="s">
        <v>116</v>
      </c>
      <c r="C31" s="46" t="s">
        <v>117</v>
      </c>
      <c r="D31" s="46" t="s">
        <v>118</v>
      </c>
    </row>
    <row r="32" ht="15.75" customHeight="1">
      <c r="A32" s="46">
        <v>12.0</v>
      </c>
      <c r="B32" s="46" t="s">
        <v>119</v>
      </c>
      <c r="C32" s="46" t="s">
        <v>120</v>
      </c>
      <c r="D32" s="46" t="s">
        <v>121</v>
      </c>
    </row>
    <row r="33" ht="15.75" customHeight="1">
      <c r="A33" s="46">
        <v>13.0</v>
      </c>
      <c r="B33" s="46" t="s">
        <v>122</v>
      </c>
      <c r="C33" s="46" t="s">
        <v>123</v>
      </c>
      <c r="D33" s="46" t="s">
        <v>124</v>
      </c>
    </row>
    <row r="34" ht="15.75" customHeight="1">
      <c r="A34" s="46">
        <v>14.0</v>
      </c>
      <c r="B34" s="46" t="s">
        <v>77</v>
      </c>
      <c r="C34" s="46" t="s">
        <v>125</v>
      </c>
      <c r="D34" s="46" t="s">
        <v>126</v>
      </c>
    </row>
    <row r="35" ht="15.75" customHeight="1">
      <c r="A35" s="46">
        <v>15.0</v>
      </c>
      <c r="B35" s="46" t="s">
        <v>127</v>
      </c>
      <c r="C35" s="46" t="s">
        <v>128</v>
      </c>
      <c r="D35" s="46" t="s">
        <v>129</v>
      </c>
    </row>
    <row r="36" ht="15.75" customHeight="1">
      <c r="A36" s="47"/>
      <c r="B36" s="47"/>
      <c r="C36" s="47"/>
      <c r="D36" s="47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B17:E17"/>
    <mergeCell ref="A19:D19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54.0"/>
    <col customWidth="1" min="3" max="3" width="54.29"/>
    <col customWidth="1" min="4" max="4" width="43.71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19" t="s">
        <v>28</v>
      </c>
      <c r="B1" s="20" t="s">
        <v>29</v>
      </c>
      <c r="C1" s="19" t="s">
        <v>30</v>
      </c>
      <c r="D1" s="48" t="s">
        <v>31</v>
      </c>
      <c r="E1" s="12"/>
    </row>
    <row r="2">
      <c r="A2" s="19" t="s">
        <v>32</v>
      </c>
      <c r="B2" s="23" t="s">
        <v>14</v>
      </c>
      <c r="C2" s="19" t="s">
        <v>33</v>
      </c>
      <c r="D2" s="48" t="s">
        <v>34</v>
      </c>
      <c r="E2" s="12"/>
    </row>
    <row r="3">
      <c r="A3" s="19" t="s">
        <v>35</v>
      </c>
      <c r="B3" s="23" t="s">
        <v>36</v>
      </c>
      <c r="C3" s="19" t="s">
        <v>37</v>
      </c>
      <c r="D3" s="24" t="s">
        <v>34</v>
      </c>
      <c r="E3" s="12"/>
    </row>
    <row r="4">
      <c r="A4" s="19" t="s">
        <v>38</v>
      </c>
      <c r="B4" s="25" t="s">
        <v>39</v>
      </c>
      <c r="C4" s="26" t="s">
        <v>40</v>
      </c>
      <c r="D4" s="27" t="s">
        <v>39</v>
      </c>
      <c r="E4" s="12"/>
    </row>
    <row r="5">
      <c r="A5" s="19" t="s">
        <v>41</v>
      </c>
      <c r="B5" s="27" t="s">
        <v>130</v>
      </c>
      <c r="C5" s="11"/>
      <c r="D5" s="11"/>
      <c r="E5" s="12"/>
    </row>
    <row r="6">
      <c r="A6" s="26" t="s">
        <v>43</v>
      </c>
      <c r="B6" s="28" t="s">
        <v>131</v>
      </c>
      <c r="C6" s="11"/>
      <c r="D6" s="11"/>
      <c r="E6" s="12"/>
    </row>
    <row r="7">
      <c r="A7" s="29" t="s">
        <v>45</v>
      </c>
      <c r="B7" s="11"/>
      <c r="C7" s="11"/>
      <c r="D7" s="11"/>
      <c r="E7" s="12"/>
    </row>
    <row r="8">
      <c r="A8" s="30" t="s">
        <v>46</v>
      </c>
      <c r="B8" s="30" t="s">
        <v>47</v>
      </c>
      <c r="C8" s="30" t="s">
        <v>48</v>
      </c>
      <c r="D8" s="30" t="s">
        <v>49</v>
      </c>
      <c r="E8" s="30" t="s">
        <v>50</v>
      </c>
      <c r="F8" s="31" t="s">
        <v>51</v>
      </c>
      <c r="G8" s="31" t="s">
        <v>52</v>
      </c>
      <c r="H8" s="31" t="s">
        <v>53</v>
      </c>
    </row>
    <row r="9">
      <c r="A9" s="32">
        <v>1.0</v>
      </c>
      <c r="B9" s="33" t="s">
        <v>132</v>
      </c>
      <c r="C9" s="33" t="s">
        <v>59</v>
      </c>
      <c r="D9" s="33" t="s">
        <v>133</v>
      </c>
      <c r="E9" s="33" t="s">
        <v>134</v>
      </c>
      <c r="F9" s="34"/>
      <c r="G9" s="34"/>
      <c r="H9" s="34"/>
    </row>
    <row r="10">
      <c r="A10" s="32">
        <v>2.0</v>
      </c>
      <c r="B10" s="33" t="s">
        <v>135</v>
      </c>
      <c r="C10" s="33" t="s">
        <v>63</v>
      </c>
      <c r="D10" s="33" t="s">
        <v>136</v>
      </c>
      <c r="E10" s="33" t="s">
        <v>137</v>
      </c>
      <c r="F10" s="34"/>
      <c r="G10" s="34"/>
      <c r="H10" s="34"/>
    </row>
    <row r="11">
      <c r="A11" s="32">
        <v>3.0</v>
      </c>
      <c r="B11" s="33" t="s">
        <v>138</v>
      </c>
      <c r="C11" s="33" t="s">
        <v>67</v>
      </c>
      <c r="D11" s="33" t="s">
        <v>139</v>
      </c>
      <c r="E11" s="33" t="s">
        <v>140</v>
      </c>
      <c r="F11" s="34"/>
      <c r="G11" s="34"/>
      <c r="H11" s="34"/>
    </row>
    <row r="12">
      <c r="A12" s="35">
        <v>4.0</v>
      </c>
      <c r="B12" s="34" t="s">
        <v>141</v>
      </c>
      <c r="C12" s="34" t="s">
        <v>71</v>
      </c>
      <c r="D12" s="49" t="s">
        <v>142</v>
      </c>
      <c r="E12" s="49" t="s">
        <v>143</v>
      </c>
      <c r="F12" s="34"/>
      <c r="G12" s="34"/>
      <c r="H12" s="34"/>
    </row>
    <row r="13">
      <c r="A13" s="35">
        <v>5.0</v>
      </c>
      <c r="B13" s="34" t="s">
        <v>74</v>
      </c>
      <c r="C13" s="36"/>
      <c r="D13" s="34" t="s">
        <v>72</v>
      </c>
      <c r="E13" s="34" t="s">
        <v>75</v>
      </c>
      <c r="F13" s="34"/>
      <c r="G13" s="34"/>
      <c r="H13" s="34"/>
    </row>
    <row r="14">
      <c r="A14" s="32">
        <v>6.0</v>
      </c>
      <c r="B14" s="33" t="s">
        <v>144</v>
      </c>
      <c r="C14" s="37"/>
      <c r="D14" s="38" t="s">
        <v>81</v>
      </c>
      <c r="E14" s="38" t="s">
        <v>82</v>
      </c>
      <c r="F14" s="34"/>
      <c r="G14" s="34"/>
      <c r="H14" s="34"/>
    </row>
    <row r="15">
      <c r="A15" s="39" t="s">
        <v>83</v>
      </c>
      <c r="B15" s="40"/>
      <c r="C15" s="11"/>
      <c r="D15" s="11"/>
      <c r="E15" s="12"/>
    </row>
    <row r="16">
      <c r="A16" s="41"/>
      <c r="B16" s="41"/>
      <c r="C16" s="41"/>
      <c r="D16" s="41"/>
      <c r="E16" s="41"/>
    </row>
    <row r="17">
      <c r="A17" s="42" t="s">
        <v>84</v>
      </c>
      <c r="B17" s="11"/>
      <c r="C17" s="11"/>
      <c r="D17" s="12"/>
      <c r="E17" s="4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30" t="s">
        <v>85</v>
      </c>
      <c r="B18" s="30" t="s">
        <v>86</v>
      </c>
      <c r="C18" s="30" t="s">
        <v>47</v>
      </c>
      <c r="D18" s="30" t="s">
        <v>87</v>
      </c>
      <c r="E18" s="4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46">
        <v>1.0</v>
      </c>
      <c r="B19" s="46" t="s">
        <v>95</v>
      </c>
      <c r="C19" s="46" t="s">
        <v>96</v>
      </c>
      <c r="D19" s="46" t="s">
        <v>145</v>
      </c>
      <c r="E19" s="4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6">
        <v>2.0</v>
      </c>
      <c r="B20" s="46" t="s">
        <v>63</v>
      </c>
      <c r="C20" s="46" t="s">
        <v>99</v>
      </c>
      <c r="D20" s="46" t="s">
        <v>100</v>
      </c>
      <c r="E20" s="4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6">
        <v>3.0</v>
      </c>
      <c r="B21" s="46" t="s">
        <v>101</v>
      </c>
      <c r="C21" s="46" t="s">
        <v>102</v>
      </c>
      <c r="D21" s="46" t="s">
        <v>146</v>
      </c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6">
        <v>4.0</v>
      </c>
      <c r="B22" s="46" t="s">
        <v>104</v>
      </c>
      <c r="C22" s="46" t="s">
        <v>105</v>
      </c>
      <c r="D22" s="46" t="s">
        <v>147</v>
      </c>
      <c r="E22" s="41"/>
      <c r="F22" s="1" t="s">
        <v>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6">
        <v>5.0</v>
      </c>
      <c r="B23" s="46" t="s">
        <v>107</v>
      </c>
      <c r="C23" s="46" t="s">
        <v>108</v>
      </c>
      <c r="D23" s="46" t="s">
        <v>109</v>
      </c>
      <c r="E23" s="4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6">
        <v>6.0</v>
      </c>
      <c r="B24" s="46" t="s">
        <v>110</v>
      </c>
      <c r="C24" s="46" t="s">
        <v>111</v>
      </c>
      <c r="D24" s="46" t="s">
        <v>148</v>
      </c>
      <c r="E24" s="4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6">
        <v>7.0</v>
      </c>
      <c r="B25" s="46" t="s">
        <v>149</v>
      </c>
      <c r="C25" s="46" t="s">
        <v>150</v>
      </c>
      <c r="D25" s="46" t="s">
        <v>109</v>
      </c>
      <c r="E25" s="4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6">
        <v>8.0</v>
      </c>
      <c r="B26" s="46" t="s">
        <v>119</v>
      </c>
      <c r="C26" s="46" t="s">
        <v>120</v>
      </c>
      <c r="D26" s="46" t="s">
        <v>151</v>
      </c>
    </row>
    <row r="27" ht="15.75" customHeight="1">
      <c r="A27" s="46">
        <v>9.0</v>
      </c>
      <c r="B27" s="46" t="s">
        <v>122</v>
      </c>
      <c r="C27" s="46" t="s">
        <v>123</v>
      </c>
      <c r="D27" s="46" t="s">
        <v>152</v>
      </c>
    </row>
    <row r="28" ht="15.75" customHeight="1">
      <c r="A28" s="46">
        <v>10.0</v>
      </c>
      <c r="B28" s="46" t="s">
        <v>77</v>
      </c>
      <c r="C28" s="46" t="s">
        <v>125</v>
      </c>
      <c r="D28" s="46" t="s">
        <v>126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9">
    <mergeCell ref="B15:E15"/>
    <mergeCell ref="A17:D17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40.29"/>
    <col customWidth="1" min="3" max="3" width="23.57"/>
    <col customWidth="1" min="4" max="4" width="48.86"/>
    <col customWidth="1" min="5" max="5" width="57.29"/>
    <col customWidth="1" min="6" max="6" width="21.29"/>
    <col customWidth="1" min="7" max="7" width="31.86"/>
    <col customWidth="1" min="8" max="27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4.0" customHeight="1">
      <c r="A2" s="50" t="s">
        <v>153</v>
      </c>
      <c r="B2" s="11"/>
      <c r="C2" s="11"/>
      <c r="D2" s="11"/>
      <c r="E2" s="11"/>
      <c r="F2" s="11"/>
      <c r="G2" s="12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4.0" customHeight="1">
      <c r="A4" s="52" t="s">
        <v>154</v>
      </c>
      <c r="B4" s="53" t="s">
        <v>155</v>
      </c>
      <c r="C4" s="11"/>
      <c r="D4" s="54"/>
      <c r="E4" s="52" t="s">
        <v>156</v>
      </c>
      <c r="F4" s="53" t="s">
        <v>31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4.0" customHeight="1">
      <c r="A5" s="52" t="s">
        <v>157</v>
      </c>
      <c r="B5" s="54"/>
      <c r="C5" s="11"/>
      <c r="D5" s="54"/>
      <c r="E5" s="52" t="s">
        <v>158</v>
      </c>
      <c r="F5" s="53" t="s">
        <v>36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4.0" customHeight="1">
      <c r="A6" s="55" t="s">
        <v>159</v>
      </c>
      <c r="B6" s="56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4.0" customHeight="1">
      <c r="A8" s="2" t="s">
        <v>1</v>
      </c>
      <c r="B8" s="57" t="s">
        <v>160</v>
      </c>
      <c r="C8" s="57" t="s">
        <v>161</v>
      </c>
      <c r="D8" s="57" t="s">
        <v>48</v>
      </c>
      <c r="E8" s="2" t="s">
        <v>162</v>
      </c>
      <c r="F8" s="2" t="s">
        <v>163</v>
      </c>
      <c r="G8" s="3" t="s">
        <v>164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ht="24.0" customHeight="1">
      <c r="A9" s="59" t="s">
        <v>10</v>
      </c>
      <c r="B9" s="60" t="s">
        <v>165</v>
      </c>
      <c r="C9" s="61" t="s">
        <v>166</v>
      </c>
      <c r="D9" s="62" t="s">
        <v>167</v>
      </c>
      <c r="E9" s="62" t="s">
        <v>168</v>
      </c>
      <c r="F9" s="63"/>
      <c r="G9" s="6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4.0" customHeight="1">
      <c r="A10" s="64"/>
      <c r="B10" s="64"/>
      <c r="C10" s="61" t="s">
        <v>169</v>
      </c>
      <c r="D10" s="62" t="s">
        <v>170</v>
      </c>
      <c r="E10" s="62" t="s">
        <v>171</v>
      </c>
      <c r="F10" s="63"/>
      <c r="G10" s="6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4.0" customHeight="1">
      <c r="A11" s="64"/>
      <c r="B11" s="64"/>
      <c r="C11" s="61" t="s">
        <v>172</v>
      </c>
      <c r="D11" s="62" t="s">
        <v>173</v>
      </c>
      <c r="E11" s="62" t="s">
        <v>174</v>
      </c>
      <c r="F11" s="63"/>
      <c r="G11" s="6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4.0" customHeight="1">
      <c r="A12" s="64"/>
      <c r="B12" s="64"/>
      <c r="C12" s="61" t="s">
        <v>175</v>
      </c>
      <c r="D12" s="62" t="s">
        <v>176</v>
      </c>
      <c r="E12" s="62" t="s">
        <v>177</v>
      </c>
      <c r="F12" s="63"/>
      <c r="G12" s="6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4.0" customHeight="1">
      <c r="A13" s="64"/>
      <c r="B13" s="64"/>
      <c r="C13" s="61" t="s">
        <v>178</v>
      </c>
      <c r="D13" s="62" t="s">
        <v>179</v>
      </c>
      <c r="E13" s="62" t="s">
        <v>180</v>
      </c>
      <c r="F13" s="63"/>
      <c r="G13" s="6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68.25" customHeight="1">
      <c r="A14" s="65"/>
      <c r="B14" s="65"/>
      <c r="C14" s="61" t="s">
        <v>181</v>
      </c>
      <c r="D14" s="62" t="s">
        <v>182</v>
      </c>
      <c r="E14" s="62" t="s">
        <v>183</v>
      </c>
      <c r="F14" s="63"/>
      <c r="G14" s="6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0" customHeight="1">
      <c r="A15" s="66" t="s">
        <v>13</v>
      </c>
      <c r="B15" s="60" t="s">
        <v>184</v>
      </c>
      <c r="C15" s="61" t="s">
        <v>166</v>
      </c>
      <c r="D15" s="62" t="s">
        <v>185</v>
      </c>
      <c r="E15" s="62" t="s">
        <v>186</v>
      </c>
      <c r="F15" s="63"/>
      <c r="G15" s="6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4.0" customHeight="1">
      <c r="A16" s="64"/>
      <c r="B16" s="64"/>
      <c r="C16" s="61" t="s">
        <v>169</v>
      </c>
      <c r="D16" s="62" t="s">
        <v>173</v>
      </c>
      <c r="E16" s="62" t="s">
        <v>174</v>
      </c>
      <c r="F16" s="63"/>
      <c r="G16" s="6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0" customHeight="1">
      <c r="A17" s="64"/>
      <c r="B17" s="64"/>
      <c r="C17" s="61" t="s">
        <v>172</v>
      </c>
      <c r="D17" s="62" t="s">
        <v>187</v>
      </c>
      <c r="E17" s="62" t="s">
        <v>177</v>
      </c>
      <c r="F17" s="63"/>
      <c r="G17" s="6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0" customHeight="1">
      <c r="A18" s="64"/>
      <c r="B18" s="64"/>
      <c r="C18" s="61" t="s">
        <v>175</v>
      </c>
      <c r="D18" s="62" t="s">
        <v>179</v>
      </c>
      <c r="E18" s="62" t="s">
        <v>180</v>
      </c>
      <c r="F18" s="63"/>
      <c r="G18" s="6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0" customHeight="1">
      <c r="A19" s="65"/>
      <c r="B19" s="65"/>
      <c r="C19" s="61" t="s">
        <v>188</v>
      </c>
      <c r="D19" s="62" t="s">
        <v>189</v>
      </c>
      <c r="E19" s="62" t="s">
        <v>183</v>
      </c>
      <c r="F19" s="63"/>
      <c r="G19" s="6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0" customHeight="1">
      <c r="A20" s="67"/>
      <c r="B20" s="67"/>
      <c r="C20" s="67"/>
      <c r="D20" s="67"/>
      <c r="E20" s="67"/>
      <c r="F20" s="67"/>
      <c r="G20" s="6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A9:A14"/>
    <mergeCell ref="A15:A19"/>
    <mergeCell ref="B15:B19"/>
    <mergeCell ref="A2:G2"/>
    <mergeCell ref="B4:C4"/>
    <mergeCell ref="F4:G4"/>
    <mergeCell ref="B5:C5"/>
    <mergeCell ref="F5:G5"/>
    <mergeCell ref="B6:G6"/>
    <mergeCell ref="B9:B1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41.29"/>
    <col customWidth="1" min="3" max="3" width="51.43"/>
    <col customWidth="1" min="4" max="26" width="9.14"/>
  </cols>
  <sheetData>
    <row r="1" ht="19.5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9.5" customHeight="1">
      <c r="A2" s="69" t="s">
        <v>190</v>
      </c>
      <c r="B2" s="69" t="s">
        <v>191</v>
      </c>
      <c r="C2" s="69" t="s">
        <v>192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9.5" customHeight="1">
      <c r="A3" s="70" t="s">
        <v>193</v>
      </c>
      <c r="B3" s="71"/>
      <c r="C3" s="72" t="s">
        <v>194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9.5" customHeight="1">
      <c r="A4" s="65"/>
      <c r="B4" s="71"/>
      <c r="C4" s="72" t="s">
        <v>195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9.5" customHeight="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9.5" customHeigh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9.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9.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9.5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9.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9.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9.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9.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9.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9.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9.5" customHeight="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9.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9.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9.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9.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9.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9.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9.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9.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9.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9.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9.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9.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9.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9.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9.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9.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9.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9.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9.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9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9.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9.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9.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9.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9.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9.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9.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9.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9.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9.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9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9.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9.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9.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9.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9.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9.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9.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9.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9.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9.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9.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9.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9.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9.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9.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9.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9.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9.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9.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9.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9.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9.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9.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9.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9.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9.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9.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9.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9.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9.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9.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9.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9.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9.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9.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9.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9.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9.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9.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9.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9.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9.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9.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9.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9.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9.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9.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9.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9.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9.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9.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9.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9.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9.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9.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9.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9.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9.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9.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9.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9.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9.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9.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9.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9.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9.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9.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9.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9.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9.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9.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9.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9.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9.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9.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9.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9.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9.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9.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9.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9.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9.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9.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9.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9.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9.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9.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9.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9.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9.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9.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9.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9.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9.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9.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9.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9.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9.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9.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9.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9.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9.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9.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9.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9.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9.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9.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9.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9.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9.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9.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9.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9.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9.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9.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9.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9.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9.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9.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9.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9.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9.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9.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9.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9.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9.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9.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9.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9.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9.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9.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9.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9.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9.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9.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9.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9.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9.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9.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9.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9.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9.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9.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9.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9.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9.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9.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9.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9.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9.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9.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9.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9.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9.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9.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9.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9.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9.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9.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9.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9.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9.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9.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9.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9.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9.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9.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9.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9.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9.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9.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9.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9.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9.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9.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9.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9.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9.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9.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9.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9.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9.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9.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9.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9.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9.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9.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9.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9.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9.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9.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9.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9.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9.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9.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9.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9.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9.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9.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9.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9.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9.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9.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9.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9.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9.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9.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9.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9.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9.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9.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9.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9.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9.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9.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9.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9.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9.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9.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9.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9.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9.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9.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9.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9.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9.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9.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9.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9.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9.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9.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9.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9.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9.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9.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9.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9.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9.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9.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9.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9.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9.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9.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9.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9.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9.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9.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9.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9.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9.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9.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9.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9.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9.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9.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9.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9.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9.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9.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9.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9.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9.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9.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9.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9.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9.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9.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9.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9.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9.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9.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9.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9.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9.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9.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9.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9.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9.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9.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9.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9.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9.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9.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9.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9.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9.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9.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9.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9.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9.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9.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9.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9.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9.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9.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9.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9.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9.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9.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9.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9.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9.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9.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9.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9.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9.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9.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9.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9.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9.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9.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9.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9.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9.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9.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9.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9.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9.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9.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9.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9.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9.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9.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9.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9.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9.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9.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9.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9.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9.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9.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9.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9.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9.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9.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9.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9.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9.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9.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9.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9.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9.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9.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9.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9.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9.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9.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9.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9.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9.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9.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9.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9.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9.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9.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9.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9.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9.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9.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9.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9.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9.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9.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9.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9.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9.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9.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9.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9.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9.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9.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9.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9.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9.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9.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9.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9.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9.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9.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9.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9.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9.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9.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9.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9.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9.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9.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9.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9.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9.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9.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9.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9.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9.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9.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9.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9.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9.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9.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9.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9.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9.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9.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9.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9.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9.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9.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9.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9.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9.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9.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9.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9.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9.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9.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9.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9.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9.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9.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9.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9.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9.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9.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9.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9.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9.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9.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9.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9.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9.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9.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9.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9.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9.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9.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9.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9.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9.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9.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9.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9.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9.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9.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9.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9.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9.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9.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9.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9.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9.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9.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9.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9.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9.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9.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9.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9.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9.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9.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9.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9.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9.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9.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9.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9.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9.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9.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9.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9.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9.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9.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9.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9.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9.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9.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9.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9.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9.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9.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9.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9.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9.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9.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9.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9.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9.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9.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9.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9.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9.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9.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9.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9.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9.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9.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9.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9.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9.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9.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9.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9.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9.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9.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9.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9.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9.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9.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9.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9.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9.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9.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9.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9.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9.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9.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9.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9.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9.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9.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9.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9.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9.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9.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9.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9.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9.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9.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9.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9.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9.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9.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9.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9.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9.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9.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9.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9.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9.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9.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9.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9.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9.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9.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9.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9.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9.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9.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9.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9.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9.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9.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9.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9.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9.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9.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9.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9.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9.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9.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9.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9.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9.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9.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9.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9.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9.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9.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9.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9.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9.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9.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9.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9.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9.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9.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9.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9.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9.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9.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9.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9.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9.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9.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9.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9.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9.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9.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9.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9.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9.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9.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9.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9.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9.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9.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9.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9.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9.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9.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9.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9.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9.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9.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9.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9.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9.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9.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9.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9.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9.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9.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9.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9.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9.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9.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9.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9.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9.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9.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9.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9.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9.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9.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9.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9.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9.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9.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9.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9.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9.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9.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9.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9.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9.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9.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9.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9.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9.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9.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9.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9.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9.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9.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9.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9.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9.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9.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9.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9.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9.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9.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9.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9.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9.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9.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9.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9.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9.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9.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9.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9.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9.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9.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9.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9.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9.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9.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9.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9.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9.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9.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9.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9.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9.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9.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9.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9.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9.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9.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9.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9.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9.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9.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9.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9.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9.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9.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9.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9.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9.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9.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9.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9.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9.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9.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9.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9.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9.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9.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9.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9.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9.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9.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9.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9.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9.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9.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9.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9.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9.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9.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9.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9.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9.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9.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9.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9.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9.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9.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9.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9.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9.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9.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9.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9.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9.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9.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9.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9.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9.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9.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9.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9.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9.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9.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9.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9.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9.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9.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9.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9.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9.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9.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9.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9.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9.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9.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9.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9.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9.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9.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9.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9.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9.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9.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9.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9.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9.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9.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9.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9.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9.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9.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9.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9.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9.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9.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9.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9.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9.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9.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9.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9.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9.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9.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9.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9.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9.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9.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9.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9.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9.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9.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9.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9.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9.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9.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9.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9.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9.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9.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9.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9.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9.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9.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9.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9.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9.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9.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9.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9.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9.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9.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9.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9.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9.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9.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9.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9.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9.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9.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9.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9.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9.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9.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9.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9.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9.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9.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9.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9.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9.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9.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9.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9.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9.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9.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9.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9.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9.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9.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9.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9.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9.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9.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9.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9.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9.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9.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9.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9.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9.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9.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9.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9.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9.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9.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9.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9.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9.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9.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9.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9.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9.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9.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9.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9.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9.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9.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9.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9.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9.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9.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9.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9.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9.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9.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9.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9.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9.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9.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9.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9.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9.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9.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9.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9.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9.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9.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9.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9.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9.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9.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9.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9.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9.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9.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9.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9.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9.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9.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9.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9.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9.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9.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9.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9.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9.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9.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9.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9.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9.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9.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9.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9.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9.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9.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9.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9.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9.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9.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9.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9.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9.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9.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9.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9.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9.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9.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9.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9.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9.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9.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9.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9.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9.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9.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9.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9.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9.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9.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9.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9.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9.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9.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9.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9.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9.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9.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9.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9.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9.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9.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9.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9.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9.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9.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9.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9.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9.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9.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9.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9.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">
    <mergeCell ref="A3:A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4.0"/>
    <col customWidth="1" min="6" max="22" width="9.14"/>
    <col customWidth="1" min="23" max="23" width="9.43"/>
    <col customWidth="1" min="24" max="30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0" customHeight="1">
      <c r="A2" s="73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0" customHeight="1">
      <c r="A3" s="74" t="s">
        <v>196</v>
      </c>
      <c r="B3" s="75"/>
      <c r="C3" s="75"/>
      <c r="D3" s="76"/>
      <c r="E3" s="75"/>
      <c r="F3" s="75"/>
      <c r="G3" s="75"/>
      <c r="H3" s="75"/>
      <c r="I3" s="1" t="s">
        <v>197</v>
      </c>
      <c r="J3" s="77">
        <v>1.0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.0" customHeight="1">
      <c r="A4" s="78" t="s">
        <v>198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"/>
      <c r="M4" s="79" t="s">
        <v>199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</row>
    <row r="5" ht="24.0" customHeight="1">
      <c r="A5" s="80" t="s">
        <v>200</v>
      </c>
      <c r="B5" s="11"/>
      <c r="C5" s="12"/>
      <c r="D5" s="54"/>
      <c r="E5" s="11"/>
      <c r="F5" s="12"/>
      <c r="G5" s="80" t="s">
        <v>30</v>
      </c>
      <c r="H5" s="12"/>
      <c r="I5" s="54"/>
      <c r="J5" s="11"/>
      <c r="K5" s="12"/>
      <c r="L5" s="1"/>
      <c r="M5" s="81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3"/>
    </row>
    <row r="6" ht="24.0" customHeight="1">
      <c r="A6" s="80" t="s">
        <v>201</v>
      </c>
      <c r="B6" s="11"/>
      <c r="C6" s="12"/>
      <c r="D6" s="54"/>
      <c r="E6" s="11"/>
      <c r="F6" s="12"/>
      <c r="G6" s="80" t="s">
        <v>202</v>
      </c>
      <c r="H6" s="12"/>
      <c r="I6" s="54"/>
      <c r="J6" s="11"/>
      <c r="K6" s="12"/>
      <c r="L6" s="1"/>
      <c r="M6" s="84"/>
      <c r="AD6" s="85"/>
    </row>
    <row r="7" ht="24.0" customHeight="1">
      <c r="A7" s="80" t="s">
        <v>203</v>
      </c>
      <c r="B7" s="11"/>
      <c r="C7" s="12"/>
      <c r="D7" s="80"/>
      <c r="E7" s="11"/>
      <c r="F7" s="11"/>
      <c r="G7" s="11"/>
      <c r="H7" s="11"/>
      <c r="I7" s="11"/>
      <c r="J7" s="11"/>
      <c r="K7" s="12"/>
      <c r="L7" s="1"/>
      <c r="M7" s="84"/>
      <c r="AD7" s="85"/>
    </row>
    <row r="8" ht="24.0" customHeight="1">
      <c r="A8" s="80" t="s">
        <v>204</v>
      </c>
      <c r="B8" s="11"/>
      <c r="C8" s="12"/>
      <c r="D8" s="80"/>
      <c r="E8" s="11"/>
      <c r="F8" s="11"/>
      <c r="G8" s="11"/>
      <c r="H8" s="11"/>
      <c r="I8" s="11"/>
      <c r="J8" s="11"/>
      <c r="K8" s="12"/>
      <c r="L8" s="1"/>
      <c r="M8" s="84"/>
      <c r="AD8" s="85"/>
    </row>
    <row r="9" ht="24.0" customHeight="1">
      <c r="A9" s="86" t="s">
        <v>205</v>
      </c>
      <c r="B9" s="82"/>
      <c r="C9" s="83"/>
      <c r="D9" s="80">
        <v>1.0</v>
      </c>
      <c r="E9" s="11"/>
      <c r="F9" s="11"/>
      <c r="G9" s="11"/>
      <c r="H9" s="11"/>
      <c r="I9" s="11"/>
      <c r="J9" s="11"/>
      <c r="K9" s="12"/>
      <c r="L9" s="1"/>
      <c r="M9" s="84"/>
      <c r="AD9" s="85"/>
    </row>
    <row r="10" ht="24.0" customHeight="1">
      <c r="A10" s="87"/>
      <c r="B10" s="75"/>
      <c r="C10" s="88"/>
      <c r="D10" s="80">
        <v>2.0</v>
      </c>
      <c r="E10" s="11"/>
      <c r="F10" s="11"/>
      <c r="G10" s="11"/>
      <c r="H10" s="11"/>
      <c r="I10" s="11"/>
      <c r="J10" s="11"/>
      <c r="K10" s="12"/>
      <c r="L10" s="1"/>
      <c r="M10" s="84"/>
      <c r="AD10" s="85"/>
    </row>
    <row r="11" ht="24.0" customHeight="1">
      <c r="A11" s="80" t="s">
        <v>206</v>
      </c>
      <c r="B11" s="11"/>
      <c r="C11" s="12"/>
      <c r="D11" s="80"/>
      <c r="E11" s="11"/>
      <c r="F11" s="11"/>
      <c r="G11" s="11"/>
      <c r="H11" s="11"/>
      <c r="I11" s="11"/>
      <c r="J11" s="11"/>
      <c r="K11" s="12"/>
      <c r="L11" s="1"/>
      <c r="M11" s="84"/>
      <c r="AD11" s="85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84"/>
      <c r="AD12" s="85"/>
    </row>
    <row r="13" ht="24.0" customHeight="1">
      <c r="A13" s="78" t="s">
        <v>207</v>
      </c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"/>
      <c r="M13" s="84"/>
      <c r="AD13" s="85"/>
    </row>
    <row r="14" ht="24.0" customHeight="1">
      <c r="A14" s="89" t="s">
        <v>208</v>
      </c>
      <c r="B14" s="11"/>
      <c r="C14" s="11"/>
      <c r="D14" s="11"/>
      <c r="E14" s="12"/>
      <c r="F14" s="54"/>
      <c r="G14" s="11"/>
      <c r="H14" s="11"/>
      <c r="I14" s="11"/>
      <c r="J14" s="12"/>
      <c r="K14" s="8" t="s">
        <v>209</v>
      </c>
      <c r="L14" s="1"/>
      <c r="M14" s="84"/>
      <c r="AD14" s="85"/>
    </row>
    <row r="15" ht="24.0" customHeight="1">
      <c r="A15" s="90"/>
      <c r="B15" s="11"/>
      <c r="C15" s="11"/>
      <c r="D15" s="11"/>
      <c r="E15" s="12"/>
      <c r="F15" s="79" t="s">
        <v>3</v>
      </c>
      <c r="G15" s="11"/>
      <c r="H15" s="11"/>
      <c r="I15" s="11"/>
      <c r="J15" s="91"/>
      <c r="K15" s="92"/>
      <c r="L15" s="1"/>
      <c r="M15" s="84"/>
      <c r="AD15" s="85"/>
    </row>
    <row r="16" ht="24.0" customHeight="1">
      <c r="A16" s="93" t="s">
        <v>210</v>
      </c>
      <c r="B16" s="11"/>
      <c r="C16" s="11"/>
      <c r="D16" s="11"/>
      <c r="E16" s="12"/>
      <c r="F16" s="54">
        <v>0.0</v>
      </c>
      <c r="G16" s="11"/>
      <c r="H16" s="11"/>
      <c r="I16" s="11"/>
      <c r="J16" s="12"/>
      <c r="K16" s="8" t="s">
        <v>209</v>
      </c>
      <c r="L16" s="1"/>
      <c r="M16" s="87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88"/>
    </row>
    <row r="17" ht="24.0" customHeight="1">
      <c r="A17" s="93" t="s">
        <v>211</v>
      </c>
      <c r="B17" s="11"/>
      <c r="C17" s="11"/>
      <c r="D17" s="11"/>
      <c r="E17" s="12"/>
      <c r="F17" s="54">
        <v>0.0</v>
      </c>
      <c r="G17" s="11"/>
      <c r="H17" s="11"/>
      <c r="I17" s="11"/>
      <c r="J17" s="12"/>
      <c r="K17" s="8" t="s">
        <v>209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4.0" customHeight="1">
      <c r="A18" s="93" t="s">
        <v>212</v>
      </c>
      <c r="B18" s="11"/>
      <c r="C18" s="11"/>
      <c r="D18" s="11"/>
      <c r="E18" s="12"/>
      <c r="F18" s="54">
        <v>0.0</v>
      </c>
      <c r="G18" s="11"/>
      <c r="H18" s="11"/>
      <c r="I18" s="11"/>
      <c r="J18" s="12"/>
      <c r="K18" s="8" t="s">
        <v>209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4.0" customHeight="1">
      <c r="A19" s="93" t="s">
        <v>213</v>
      </c>
      <c r="B19" s="11"/>
      <c r="C19" s="11"/>
      <c r="D19" s="11"/>
      <c r="E19" s="12"/>
      <c r="F19" s="54">
        <v>0.0</v>
      </c>
      <c r="G19" s="11"/>
      <c r="H19" s="11"/>
      <c r="I19" s="11"/>
      <c r="J19" s="12"/>
      <c r="K19" s="8" t="s">
        <v>209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.0" customHeight="1">
      <c r="A20" s="94" t="s">
        <v>214</v>
      </c>
      <c r="B20" s="11"/>
      <c r="C20" s="11"/>
      <c r="D20" s="11"/>
      <c r="E20" s="12"/>
      <c r="F20" s="79">
        <f>SUM(F16:J19)</f>
        <v>0</v>
      </c>
      <c r="G20" s="11"/>
      <c r="H20" s="11"/>
      <c r="I20" s="11"/>
      <c r="J20" s="12"/>
      <c r="K20" s="95" t="s">
        <v>209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.0" customHeight="1">
      <c r="A22" s="78" t="s">
        <v>215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4.0" customHeight="1">
      <c r="A23" s="93" t="s">
        <v>216</v>
      </c>
      <c r="B23" s="11"/>
      <c r="C23" s="11"/>
      <c r="D23" s="11"/>
      <c r="E23" s="12"/>
      <c r="F23" s="54"/>
      <c r="G23" s="11"/>
      <c r="H23" s="11"/>
      <c r="I23" s="11"/>
      <c r="J23" s="11"/>
      <c r="K23" s="12"/>
      <c r="L23" s="1"/>
      <c r="M23" s="73" t="s">
        <v>217</v>
      </c>
      <c r="N23" s="11"/>
      <c r="O23" s="11"/>
      <c r="P23" s="11"/>
      <c r="Q23" s="11"/>
      <c r="R23" s="11"/>
      <c r="S23" s="11"/>
      <c r="T23" s="11"/>
      <c r="U23" s="11"/>
      <c r="V23" s="11"/>
      <c r="W23" s="12"/>
      <c r="X23" s="1"/>
      <c r="Y23" s="1"/>
      <c r="Z23" s="1"/>
      <c r="AA23" s="1"/>
      <c r="AB23" s="1"/>
      <c r="AC23" s="1"/>
      <c r="AD23" s="1"/>
    </row>
    <row r="24" ht="24.0" customHeight="1">
      <c r="A24" s="54"/>
      <c r="B24" s="11"/>
      <c r="C24" s="11"/>
      <c r="D24" s="11"/>
      <c r="E24" s="12"/>
      <c r="F24" s="79" t="s">
        <v>218</v>
      </c>
      <c r="G24" s="11"/>
      <c r="H24" s="11"/>
      <c r="I24" s="11"/>
      <c r="J24" s="11"/>
      <c r="K24" s="12"/>
      <c r="L24" s="1"/>
      <c r="M24" s="79" t="s">
        <v>219</v>
      </c>
      <c r="N24" s="12"/>
      <c r="O24" s="79" t="s">
        <v>220</v>
      </c>
      <c r="P24" s="12"/>
      <c r="Q24" s="79" t="s">
        <v>47</v>
      </c>
      <c r="R24" s="11"/>
      <c r="S24" s="11"/>
      <c r="T24" s="11"/>
      <c r="U24" s="11"/>
      <c r="V24" s="11"/>
      <c r="W24" s="12"/>
      <c r="X24" s="1"/>
      <c r="Y24" s="1"/>
      <c r="Z24" s="1"/>
      <c r="AA24" s="1"/>
      <c r="AB24" s="1"/>
      <c r="AC24" s="1"/>
      <c r="AD24" s="1"/>
    </row>
    <row r="25" ht="24.0" customHeight="1">
      <c r="A25" s="96" t="s">
        <v>221</v>
      </c>
      <c r="B25" s="11"/>
      <c r="C25" s="11"/>
      <c r="D25" s="11"/>
      <c r="E25" s="12"/>
      <c r="F25" s="54">
        <v>0.0</v>
      </c>
      <c r="G25" s="11"/>
      <c r="H25" s="11"/>
      <c r="I25" s="11"/>
      <c r="J25" s="11"/>
      <c r="K25" s="12"/>
      <c r="L25" s="1"/>
      <c r="M25" s="54">
        <v>1.0</v>
      </c>
      <c r="N25" s="12"/>
      <c r="O25" s="54" t="s">
        <v>222</v>
      </c>
      <c r="P25" s="12"/>
      <c r="Q25" s="80" t="s">
        <v>223</v>
      </c>
      <c r="R25" s="11"/>
      <c r="S25" s="11"/>
      <c r="T25" s="11"/>
      <c r="U25" s="11"/>
      <c r="V25" s="11"/>
      <c r="W25" s="12"/>
      <c r="X25" s="1"/>
      <c r="Y25" s="1"/>
      <c r="Z25" s="1"/>
      <c r="AA25" s="1"/>
      <c r="AB25" s="1"/>
      <c r="AC25" s="1"/>
      <c r="AD25" s="1"/>
    </row>
    <row r="26" ht="24.0" customHeight="1">
      <c r="A26" s="96" t="s">
        <v>224</v>
      </c>
      <c r="B26" s="11"/>
      <c r="C26" s="11"/>
      <c r="D26" s="11"/>
      <c r="E26" s="12"/>
      <c r="F26" s="54">
        <v>0.0</v>
      </c>
      <c r="G26" s="11"/>
      <c r="H26" s="11"/>
      <c r="I26" s="11"/>
      <c r="J26" s="11"/>
      <c r="K26" s="12"/>
      <c r="L26" s="1"/>
      <c r="M26" s="54">
        <v>2.0</v>
      </c>
      <c r="N26" s="12"/>
      <c r="O26" s="54" t="s">
        <v>225</v>
      </c>
      <c r="P26" s="12"/>
      <c r="Q26" s="80" t="s">
        <v>226</v>
      </c>
      <c r="R26" s="11"/>
      <c r="S26" s="11"/>
      <c r="T26" s="11"/>
      <c r="U26" s="11"/>
      <c r="V26" s="11"/>
      <c r="W26" s="12"/>
      <c r="X26" s="1"/>
      <c r="Y26" s="1"/>
      <c r="Z26" s="1"/>
      <c r="AA26" s="1"/>
      <c r="AB26" s="1"/>
      <c r="AC26" s="1"/>
      <c r="AD26" s="1"/>
    </row>
    <row r="27" ht="24.0" customHeight="1">
      <c r="A27" s="96" t="s">
        <v>227</v>
      </c>
      <c r="B27" s="11"/>
      <c r="C27" s="11"/>
      <c r="D27" s="11"/>
      <c r="E27" s="12"/>
      <c r="F27" s="54">
        <v>0.0</v>
      </c>
      <c r="G27" s="11"/>
      <c r="H27" s="11"/>
      <c r="I27" s="11"/>
      <c r="J27" s="11"/>
      <c r="K27" s="12"/>
      <c r="L27" s="1"/>
      <c r="M27" s="54">
        <v>3.0</v>
      </c>
      <c r="N27" s="12"/>
      <c r="O27" s="54" t="s">
        <v>228</v>
      </c>
      <c r="P27" s="12"/>
      <c r="Q27" s="80" t="s">
        <v>229</v>
      </c>
      <c r="R27" s="11"/>
      <c r="S27" s="11"/>
      <c r="T27" s="11"/>
      <c r="U27" s="11"/>
      <c r="V27" s="11"/>
      <c r="W27" s="12"/>
      <c r="X27" s="1"/>
      <c r="Y27" s="1"/>
      <c r="Z27" s="1"/>
      <c r="AA27" s="1"/>
      <c r="AB27" s="1"/>
      <c r="AC27" s="1"/>
      <c r="AD27" s="1"/>
    </row>
    <row r="28" ht="24.0" customHeight="1">
      <c r="A28" s="96" t="s">
        <v>230</v>
      </c>
      <c r="B28" s="11"/>
      <c r="C28" s="11"/>
      <c r="D28" s="11"/>
      <c r="E28" s="12"/>
      <c r="F28" s="54">
        <v>0.0</v>
      </c>
      <c r="G28" s="11"/>
      <c r="H28" s="11"/>
      <c r="I28" s="11"/>
      <c r="J28" s="11"/>
      <c r="K28" s="12"/>
      <c r="L28" s="1"/>
      <c r="M28" s="54">
        <v>4.0</v>
      </c>
      <c r="N28" s="12"/>
      <c r="O28" s="54" t="s">
        <v>231</v>
      </c>
      <c r="P28" s="12"/>
      <c r="Q28" s="80" t="s">
        <v>232</v>
      </c>
      <c r="R28" s="11"/>
      <c r="S28" s="11"/>
      <c r="T28" s="11"/>
      <c r="U28" s="11"/>
      <c r="V28" s="11"/>
      <c r="W28" s="12"/>
      <c r="X28" s="1"/>
      <c r="Y28" s="1"/>
      <c r="Z28" s="1"/>
      <c r="AA28" s="1"/>
      <c r="AB28" s="1"/>
      <c r="AC28" s="1"/>
      <c r="AD28" s="1"/>
    </row>
    <row r="29" ht="24.0" customHeight="1">
      <c r="A29" s="97" t="s">
        <v>233</v>
      </c>
      <c r="B29" s="54"/>
      <c r="C29" s="11"/>
      <c r="D29" s="11"/>
      <c r="E29" s="11"/>
      <c r="F29" s="11"/>
      <c r="G29" s="11"/>
      <c r="H29" s="11"/>
      <c r="I29" s="11"/>
      <c r="J29" s="11"/>
      <c r="K29" s="12"/>
      <c r="L29" s="1"/>
      <c r="M29" s="51"/>
      <c r="N29" s="51"/>
      <c r="O29" s="51"/>
      <c r="P29" s="51"/>
      <c r="Q29" s="98"/>
      <c r="R29" s="98"/>
      <c r="S29" s="98"/>
      <c r="T29" s="98"/>
      <c r="U29" s="98"/>
      <c r="V29" s="98"/>
      <c r="W29" s="98"/>
      <c r="X29" s="1"/>
      <c r="Y29" s="1"/>
      <c r="Z29" s="1"/>
      <c r="AA29" s="1"/>
      <c r="AB29" s="1"/>
      <c r="AC29" s="1"/>
      <c r="AD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4.0" customHeight="1">
      <c r="A31" s="78" t="s">
        <v>234</v>
      </c>
      <c r="B31" s="11"/>
      <c r="C31" s="11"/>
      <c r="D31" s="11"/>
      <c r="E31" s="11"/>
      <c r="F31" s="11"/>
      <c r="G31" s="11"/>
      <c r="H31" s="11"/>
      <c r="I31" s="11"/>
      <c r="J31" s="11"/>
      <c r="K31" s="1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4.0" customHeight="1">
      <c r="A32" s="93" t="s">
        <v>235</v>
      </c>
      <c r="B32" s="11"/>
      <c r="C32" s="12"/>
      <c r="D32" s="56"/>
      <c r="E32" s="11"/>
      <c r="F32" s="11"/>
      <c r="G32" s="11"/>
      <c r="H32" s="11"/>
      <c r="I32" s="12"/>
      <c r="J32" s="54" t="s">
        <v>236</v>
      </c>
      <c r="K32" s="1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4.0" customHeight="1">
      <c r="A33" s="93" t="s">
        <v>237</v>
      </c>
      <c r="B33" s="11"/>
      <c r="C33" s="12"/>
      <c r="D33" s="56"/>
      <c r="E33" s="11"/>
      <c r="F33" s="11"/>
      <c r="G33" s="11"/>
      <c r="H33" s="11"/>
      <c r="I33" s="12"/>
      <c r="J33" s="54" t="s">
        <v>236</v>
      </c>
      <c r="K33" s="1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4.0" customHeight="1">
      <c r="A34" s="93" t="s">
        <v>238</v>
      </c>
      <c r="B34" s="11"/>
      <c r="C34" s="12"/>
      <c r="D34" s="56"/>
      <c r="E34" s="11"/>
      <c r="F34" s="11"/>
      <c r="G34" s="11"/>
      <c r="H34" s="11"/>
      <c r="I34" s="12"/>
      <c r="J34" s="54" t="s">
        <v>236</v>
      </c>
      <c r="K34" s="1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4.0" customHeight="1">
      <c r="A35" s="93" t="s">
        <v>239</v>
      </c>
      <c r="B35" s="11"/>
      <c r="C35" s="12"/>
      <c r="D35" s="56"/>
      <c r="E35" s="11"/>
      <c r="F35" s="11"/>
      <c r="G35" s="11"/>
      <c r="H35" s="11"/>
      <c r="I35" s="12"/>
      <c r="J35" s="54" t="s">
        <v>236</v>
      </c>
      <c r="K35" s="1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4.0" customHeight="1">
      <c r="A36" s="94" t="s">
        <v>240</v>
      </c>
      <c r="B36" s="11"/>
      <c r="C36" s="12"/>
      <c r="D36" s="79"/>
      <c r="E36" s="11"/>
      <c r="F36" s="11"/>
      <c r="G36" s="11"/>
      <c r="H36" s="11"/>
      <c r="I36" s="12"/>
      <c r="J36" s="99" t="s">
        <v>236</v>
      </c>
      <c r="K36" s="1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4.0" customHeight="1">
      <c r="A37" s="94" t="s">
        <v>241</v>
      </c>
      <c r="B37" s="11"/>
      <c r="C37" s="12"/>
      <c r="D37" s="99"/>
      <c r="E37" s="11"/>
      <c r="F37" s="11"/>
      <c r="G37" s="11"/>
      <c r="H37" s="11"/>
      <c r="I37" s="12"/>
      <c r="J37" s="99" t="s">
        <v>242</v>
      </c>
      <c r="K37" s="1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88">
    <mergeCell ref="O24:P24"/>
    <mergeCell ref="Q24:W24"/>
    <mergeCell ref="F20:J20"/>
    <mergeCell ref="A22:K22"/>
    <mergeCell ref="A23:E23"/>
    <mergeCell ref="F23:K23"/>
    <mergeCell ref="M23:W23"/>
    <mergeCell ref="F24:K24"/>
    <mergeCell ref="M24:N24"/>
    <mergeCell ref="M26:N26"/>
    <mergeCell ref="O26:P26"/>
    <mergeCell ref="M27:N27"/>
    <mergeCell ref="O27:P27"/>
    <mergeCell ref="Q27:W27"/>
    <mergeCell ref="Q28:W28"/>
    <mergeCell ref="A25:E25"/>
    <mergeCell ref="F25:K25"/>
    <mergeCell ref="M25:N25"/>
    <mergeCell ref="O25:P25"/>
    <mergeCell ref="Q25:W25"/>
    <mergeCell ref="F26:K26"/>
    <mergeCell ref="Q26:W26"/>
    <mergeCell ref="A26:E26"/>
    <mergeCell ref="A27:E27"/>
    <mergeCell ref="F27:K27"/>
    <mergeCell ref="A28:E28"/>
    <mergeCell ref="F28:K28"/>
    <mergeCell ref="M28:N28"/>
    <mergeCell ref="O28:P28"/>
    <mergeCell ref="A33:C33"/>
    <mergeCell ref="A34:C34"/>
    <mergeCell ref="A35:C35"/>
    <mergeCell ref="A36:C36"/>
    <mergeCell ref="A37:C37"/>
    <mergeCell ref="D34:I34"/>
    <mergeCell ref="J34:K34"/>
    <mergeCell ref="D35:I35"/>
    <mergeCell ref="J35:K35"/>
    <mergeCell ref="D36:I36"/>
    <mergeCell ref="J36:K36"/>
    <mergeCell ref="D37:I37"/>
    <mergeCell ref="J37:K37"/>
    <mergeCell ref="B29:K29"/>
    <mergeCell ref="A31:K31"/>
    <mergeCell ref="A32:C32"/>
    <mergeCell ref="D32:I32"/>
    <mergeCell ref="J32:K32"/>
    <mergeCell ref="D33:I33"/>
    <mergeCell ref="J33:K33"/>
    <mergeCell ref="A5:C5"/>
    <mergeCell ref="A6:C6"/>
    <mergeCell ref="A7:C7"/>
    <mergeCell ref="A8:C8"/>
    <mergeCell ref="A9:C10"/>
    <mergeCell ref="A11:C11"/>
    <mergeCell ref="A2:K2"/>
    <mergeCell ref="A3:C3"/>
    <mergeCell ref="D3:H3"/>
    <mergeCell ref="J3:K3"/>
    <mergeCell ref="A4:K4"/>
    <mergeCell ref="M4:AD4"/>
    <mergeCell ref="I5:K5"/>
    <mergeCell ref="D8:K8"/>
    <mergeCell ref="D9:K9"/>
    <mergeCell ref="D5:F5"/>
    <mergeCell ref="G5:H5"/>
    <mergeCell ref="M5:AD16"/>
    <mergeCell ref="D6:F6"/>
    <mergeCell ref="G6:H6"/>
    <mergeCell ref="I6:K6"/>
    <mergeCell ref="D7:K7"/>
    <mergeCell ref="D10:K10"/>
    <mergeCell ref="D11:K11"/>
    <mergeCell ref="A13:K13"/>
    <mergeCell ref="A14:E14"/>
    <mergeCell ref="F14:J14"/>
    <mergeCell ref="A15:E15"/>
    <mergeCell ref="F15:J15"/>
    <mergeCell ref="A19:E19"/>
    <mergeCell ref="A20:E20"/>
    <mergeCell ref="A24:E24"/>
    <mergeCell ref="A16:E16"/>
    <mergeCell ref="F16:J16"/>
    <mergeCell ref="A17:E17"/>
    <mergeCell ref="F17:J17"/>
    <mergeCell ref="A18:E18"/>
    <mergeCell ref="F18:J18"/>
    <mergeCell ref="F19:J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